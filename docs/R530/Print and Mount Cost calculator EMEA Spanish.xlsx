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nnections.xml" ContentType="application/vnd.openxmlformats-officedocument.spreadsheetml.connection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hp-my.sharepoint.com/personal/johan_spies_hp_com/Documents/Desktop/Country Deployment 2025/"/>
    </mc:Choice>
  </mc:AlternateContent>
  <xr:revisionPtr revIDLastSave="94" documentId="8_{CC76CC91-5145-45E4-B9FB-10F80F700868}" xr6:coauthVersionLast="47" xr6:coauthVersionMax="47" xr10:uidLastSave="{9292E95C-F32D-49F1-9675-45542919701F}"/>
  <bookViews>
    <workbookView xWindow="2070" yWindow="1245" windowWidth="21600" windowHeight="11295" xr2:uid="{F6EE146F-0635-4770-AD49-BD92AE113F19}"/>
  </bookViews>
  <sheets>
    <sheet name="Print and Mount" sheetId="5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 s="1"/>
  <c r="E15" i="5"/>
  <c r="D15" i="5"/>
  <c r="H32" i="5"/>
  <c r="I32" i="5" s="1"/>
  <c r="H31" i="5"/>
  <c r="I31" i="5" s="1"/>
  <c r="D38" i="5" s="1"/>
  <c r="D41" i="5" s="1"/>
  <c r="G15" i="5" l="1"/>
  <c r="D37" i="5" s="1"/>
  <c r="D40" i="5" l="1"/>
  <c r="D45" i="5" l="1"/>
  <c r="D4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C84B91-19F7-490C-A222-5F71855D02D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<sst xmlns="http://schemas.openxmlformats.org/spreadsheetml/2006/main" count="37" uniqueCount="34">
  <si>
    <t>MOUNTING (SAV on rigid media)</t>
  </si>
  <si>
    <t>Board size</t>
  </si>
  <si>
    <t>A1</t>
  </si>
  <si>
    <t>A0</t>
  </si>
  <si>
    <t>1.2x2.4m</t>
  </si>
  <si>
    <t>Area (sqm)</t>
  </si>
  <si>
    <t>Total sqm/month</t>
  </si>
  <si>
    <t xml:space="preserve"> price per sqm directly</t>
  </si>
  <si>
    <t>Standard</t>
  </si>
  <si>
    <t>Total time (min)</t>
  </si>
  <si>
    <t>Manual mounting time (min)</t>
  </si>
  <si>
    <t>Rolls roller mounting time (min)</t>
  </si>
  <si>
    <t>Tamano Plancha</t>
  </si>
  <si>
    <t>Porcetaje laminado</t>
  </si>
  <si>
    <t>Coste operador (€/h)</t>
  </si>
  <si>
    <t>Precio montaje (Manual o Aplicador)</t>
  </si>
  <si>
    <r>
      <t>Precio  vinilo (€/m</t>
    </r>
    <r>
      <rPr>
        <vertAlign val="superscript"/>
        <sz val="11"/>
        <color theme="1"/>
        <rFont val="Forma DJR Micro"/>
      </rPr>
      <t>2</t>
    </r>
    <r>
      <rPr>
        <sz val="11"/>
        <color theme="1"/>
        <rFont val="Forma DJR Micro"/>
      </rPr>
      <t>)</t>
    </r>
  </si>
  <si>
    <r>
      <t>Precio laminante (€/m</t>
    </r>
    <r>
      <rPr>
        <vertAlign val="superscript"/>
        <sz val="11"/>
        <color theme="1"/>
        <rFont val="Forma DJR Micro"/>
      </rPr>
      <t>2</t>
    </r>
    <r>
      <rPr>
        <sz val="11"/>
        <color theme="1"/>
        <rFont val="Forma DJR Micro"/>
      </rPr>
      <t>)</t>
    </r>
  </si>
  <si>
    <t>Volumenes de rigido</t>
  </si>
  <si>
    <t>Coste de flexible (Vinilo and laminate)</t>
  </si>
  <si>
    <t>Coste montaje</t>
  </si>
  <si>
    <t>Coste total de imprimir vinilo y montar</t>
  </si>
  <si>
    <r>
      <t>Total m</t>
    </r>
    <r>
      <rPr>
        <vertAlign val="superscript"/>
        <sz val="11"/>
        <color theme="1"/>
        <rFont val="Forma DJR Micro"/>
      </rPr>
      <t>2</t>
    </r>
    <r>
      <rPr>
        <sz val="11"/>
        <color theme="1"/>
        <rFont val="Forma DJR Micro"/>
      </rPr>
      <t xml:space="preserve"> por mes</t>
    </r>
  </si>
  <si>
    <t>Nº planchas por mes</t>
  </si>
  <si>
    <t>Total tiempo operador por mes (h/mes)</t>
  </si>
  <si>
    <t>Total coste flexible por mes (€/mes)</t>
  </si>
  <si>
    <t>Total coste operador por mes (€/mes)</t>
  </si>
  <si>
    <t>Total coste de imprimir vinilo y montar (€/mes)</t>
  </si>
  <si>
    <t>Total coste de gestion de residuos (€/mes)</t>
  </si>
  <si>
    <t>Manual</t>
  </si>
  <si>
    <t>HP Inc. 2025</t>
  </si>
  <si>
    <r>
      <t>Total extra coste (€/m</t>
    </r>
    <r>
      <rPr>
        <vertAlign val="superscript"/>
        <sz val="11"/>
        <color theme="0"/>
        <rFont val="Forma DJR Micro"/>
      </rPr>
      <t>2</t>
    </r>
    <r>
      <rPr>
        <sz val="11"/>
        <color theme="0"/>
        <rFont val="Forma DJR Micro"/>
      </rPr>
      <t>)</t>
    </r>
  </si>
  <si>
    <t>€200 for 1100L container/mes</t>
  </si>
  <si>
    <t>Print and mount cost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</si>
</sst>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Forma DJR Micro"/>
      <family val="2"/>
      <scheme val="minor"/>
    </font>
    <font>
      <sz val="11"/>
      <color theme="1"/>
      <name val="Forma DJR Micro"/>
    </font>
    <font>
      <sz val="22"/>
      <color theme="0"/>
      <name val="Forma DJR Micro"/>
    </font>
    <font>
      <sz val="16"/>
      <color theme="1"/>
      <name val="Forma DJR Micro"/>
    </font>
    <font>
      <sz val="14"/>
      <color theme="1"/>
      <name val="Forma DJR Micro"/>
    </font>
    <font>
      <sz val="11"/>
      <color theme="0" tint="-0.249977111117893"/>
      <name val="Forma DJR Micro"/>
    </font>
    <font>
      <vertAlign val="superscript"/>
      <sz val="11"/>
      <color theme="1"/>
      <name val="Forma DJR Micro"/>
    </font>
    <font>
      <sz val="14"/>
      <color theme="0"/>
      <name val="Forma DJR Micro"/>
    </font>
    <font>
      <vertAlign val="superscript"/>
      <sz val="11"/>
      <color theme="0"/>
      <name val="Forma DJR Micro"/>
    </font>
    <font>
      <sz val="11"/>
      <color theme="0"/>
      <name val="Forma DJR Micr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/>
    <xf numFmtId="1" fontId="1" fillId="2" borderId="1" xfId="0" applyNumberFormat="1" applyFont="1" applyFill="1" applyBorder="1"/>
    <xf numFmtId="0" fontId="4" fillId="2" borderId="5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2" fontId="4" fillId="2" borderId="6" xfId="0" applyNumberFormat="1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0" xfId="0" applyFont="1" applyFill="1" applyBorder="1"/>
    <xf numFmtId="1" fontId="5" fillId="2" borderId="0" xfId="0" applyNumberFormat="1" applyFont="1" applyFill="1" applyBorder="1"/>
    <xf numFmtId="0" fontId="1" fillId="3" borderId="1" xfId="0" applyFont="1" applyFill="1" applyBorder="1"/>
    <xf numFmtId="9" fontId="1" fillId="3" borderId="1" xfId="0" applyNumberFormat="1" applyFont="1" applyFill="1" applyBorder="1"/>
    <xf numFmtId="2" fontId="1" fillId="3" borderId="1" xfId="0" applyNumberFormat="1" applyFont="1" applyFill="1" applyBorder="1"/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0" xfId="0" applyFont="1" applyFill="1" applyBorder="1"/>
    <xf numFmtId="2" fontId="4" fillId="2" borderId="0" xfId="0" applyNumberFormat="1" applyFont="1" applyFill="1" applyBorder="1"/>
    <xf numFmtId="0" fontId="7" fillId="4" borderId="5" xfId="0" applyFont="1" applyFill="1" applyBorder="1"/>
    <xf numFmtId="2" fontId="7" fillId="4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964407</xdr:colOff>
      <xdr:row>46</xdr:row>
      <xdr:rowOff>23814</xdr:rowOff>
    </xdr:from>
    <xdr:to>
      <xdr:col>9</xdr:col>
      <xdr:colOff>316557</xdr:colOff>
      <xdr:row>48</xdr:row>
      <xdr:rowOff>101164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1F8A5-548D-4F2F-8EB8-543F7F6A6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563" y="10179845"/>
          <a:ext cx="590400" cy="5893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eme1">
  <a:themeElements>
    <a:clrScheme name="Custom 1">
      <a:dk1>
        <a:srgbClr val="000000"/>
      </a:dk1>
      <a:lt1>
        <a:srgbClr val="FFFFFF"/>
      </a:lt1>
      <a:dk2>
        <a:srgbClr val="568392"/>
      </a:dk2>
      <a:lt2>
        <a:srgbClr val="FF5050"/>
      </a:lt2>
      <a:accent1>
        <a:srgbClr val="A5A3A3"/>
      </a:accent1>
      <a:accent2>
        <a:srgbClr val="A5A3A3"/>
      </a:accent2>
      <a:accent3>
        <a:srgbClr val="0249D6"/>
      </a:accent3>
      <a:accent4>
        <a:srgbClr val="0249D6"/>
      </a:accent4>
      <a:accent5>
        <a:srgbClr val="0249D6"/>
      </a:accent5>
      <a:accent6>
        <a:srgbClr val="0249D6"/>
      </a:accent6>
      <a:hlink>
        <a:srgbClr val="000000"/>
      </a:hlink>
      <a:folHlink>
        <a:srgbClr val="000000"/>
      </a:folHlink>
    </a:clrScheme>
    <a:fontScheme name="HP Corporate Template 2022">
      <a:majorFont>
        <a:latin typeface="Forma DJR Display"/>
        <a:ea typeface=""/>
        <a:cs typeface=""/>
      </a:majorFont>
      <a:minorFont>
        <a:latin typeface="Forma DJR Mic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ltGray">
        <a:solidFill>
          <a:schemeClr val="accent6"/>
        </a:solidFill>
        <a:ln>
          <a:noFill/>
        </a:ln>
      </a:spPr>
      <a:bodyPr rtlCol="0" anchor="ctr"/>
      <a:lstStyle>
        <a:defPPr algn="ctr">
          <a:defRPr dirty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 bwMode="black">
        <a:ln w="15875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lIns="0" tIns="0" rIns="0" bIns="0" rtlCol="0">
        <a:spAutoFit/>
      </a:bodyPr>
      <a:lstStyle/>
    </a:txDef>
  </a:objectDefaults>
  <a:extraClrSchemeLst/>
  <a:custClrLst>
    <a:custClr name="HP Warning Red">
      <a:srgbClr val="FF3900"/>
    </a:custClr>
    <a:custClr name="HP Orange">
      <a:srgbClr val="FF8900"/>
    </a:custClr>
    <a:custClr name="HP Corn">
      <a:srgbClr val="FFE137"/>
    </a:custClr>
    <a:custClr name="HP Emerald Green">
      <a:srgbClr val="00D072"/>
    </a:custClr>
    <a:custClr name="HP Corporate Blue">
      <a:srgbClr val="0096D6"/>
    </a:custClr>
    <a:custClr name="HP Standard Gray (photo background)">
      <a:srgbClr val="E6E6E6"/>
    </a:custClr>
    <a:custClr name="HP Standard Cream (text background)">
      <a:srgbClr val="F2EBDC"/>
    </a:custClr>
  </a:custClrLst>
  <a:extLst>
    <a:ext uri="{05A4C25C-085E-4340-85A3-A5531E510DB2}">
      <thm15:themeFamily xmlns:thm15="http://schemas.microsoft.com/office/thememl/2012/main" name="Theme1" id="{B9773BE3-9A25-4EF6-ACC0-3C51629B7098}" vid="{58EFED42-47CB-44DD-BFDA-7F1087662533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0004-B65E-411E-BFC8-25B372303BA8}">
  <dimension ref="A1:AA500"/>
  <sheetViews>
    <sheetView tabSelected="1" zoomScale="80" zoomScaleNormal="80" workbookViewId="0">
      <selection activeCell="E10" sqref="E10"/>
    </sheetView>
  </sheetViews>
  <sheetFormatPr defaultColWidth="0" defaultRowHeight="15.75" zeroHeight="1" x14ac:dyDescent="0.3"/>
  <cols>
    <col min="1" max="1" width="3.33203125" customWidth="1"/>
    <col min="2" max="2" width="3.6640625" customWidth="1"/>
    <col min="3" max="3" width="60.77734375" customWidth="1"/>
    <col min="4" max="4" width="10.44140625" customWidth="1"/>
    <col min="5" max="5" width="8.88671875" customWidth="1"/>
    <col min="6" max="6" width="11.109375" customWidth="1"/>
    <col min="7" max="7" width="8.88671875" customWidth="1"/>
    <col min="8" max="8" width="14.109375" customWidth="1"/>
    <col min="9" max="9" width="14.44140625" customWidth="1"/>
    <col min="10" max="10" width="5.21875" customWidth="1"/>
    <col min="11" max="11" width="4.109375" customWidth="1"/>
    <col min="28" max="16384" width="8.88671875" hidden="1"/>
  </cols>
  <sheetData>
    <row r="1" spans="1:27" ht="24" customHeight="1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9.25" x14ac:dyDescent="0.5">
      <c r="A2" s="2"/>
      <c r="B2" s="21" t="s">
        <v>33</v>
      </c>
      <c r="C2" s="22"/>
      <c r="D2" s="22"/>
      <c r="E2" s="22"/>
      <c r="F2" s="22"/>
      <c r="G2" s="22"/>
      <c r="H2" s="22"/>
      <c r="I2" s="22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2"/>
      <c r="B3" s="6"/>
      <c r="C3" s="12"/>
      <c r="D3" s="12"/>
      <c r="E3" s="12"/>
      <c r="F3" s="12"/>
      <c r="G3" s="12"/>
      <c r="H3" s="12"/>
      <c r="I3" s="12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thickBot="1" x14ac:dyDescent="0.35">
      <c r="A4" s="2"/>
      <c r="B4" s="6"/>
      <c r="C4" s="12"/>
      <c r="D4" s="12"/>
      <c r="E4" s="12"/>
      <c r="F4" s="12"/>
      <c r="G4" s="12"/>
      <c r="H4" s="12"/>
      <c r="I4" s="12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0" customHeight="1" thickBot="1" x14ac:dyDescent="0.35">
      <c r="A5" s="2"/>
      <c r="B5" s="24" t="s">
        <v>0</v>
      </c>
      <c r="C5" s="25"/>
      <c r="D5" s="25"/>
      <c r="E5" s="25"/>
      <c r="F5" s="25"/>
      <c r="G5" s="25"/>
      <c r="H5" s="25"/>
      <c r="I5" s="25"/>
      <c r="J5" s="2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2"/>
      <c r="B6" s="6"/>
      <c r="C6" s="13"/>
      <c r="D6" s="13"/>
      <c r="E6" s="13"/>
      <c r="F6" s="13"/>
      <c r="G6" s="13"/>
      <c r="H6" s="13"/>
      <c r="I6" s="13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9.5" x14ac:dyDescent="0.35">
      <c r="A7" s="2"/>
      <c r="B7" s="6"/>
      <c r="C7" s="14" t="s">
        <v>18</v>
      </c>
      <c r="D7" s="14"/>
      <c r="E7" s="14"/>
      <c r="F7" s="14"/>
      <c r="G7" s="14"/>
      <c r="H7" s="14"/>
      <c r="I7" s="14"/>
      <c r="J7" s="1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2"/>
      <c r="B8" s="6"/>
      <c r="C8" s="12"/>
      <c r="D8" s="12"/>
      <c r="E8" s="12"/>
      <c r="F8" s="12"/>
      <c r="G8" s="12"/>
      <c r="H8" s="12"/>
      <c r="I8" s="12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2"/>
      <c r="B9" s="6"/>
      <c r="C9" s="3" t="s">
        <v>12</v>
      </c>
      <c r="D9" s="3" t="s">
        <v>2</v>
      </c>
      <c r="E9" s="3" t="s">
        <v>3</v>
      </c>
      <c r="F9" s="3" t="s">
        <v>4</v>
      </c>
      <c r="G9" s="12"/>
      <c r="H9" s="12"/>
      <c r="I9" s="12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2"/>
      <c r="B10" s="6"/>
      <c r="C10" s="3" t="s">
        <v>23</v>
      </c>
      <c r="D10" s="18">
        <v>0</v>
      </c>
      <c r="E10" s="18">
        <v>150</v>
      </c>
      <c r="F10" s="18">
        <v>0</v>
      </c>
      <c r="G10" s="12"/>
      <c r="H10" s="12"/>
      <c r="I10" s="12"/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2"/>
      <c r="B11" s="6"/>
      <c r="C11" s="12"/>
      <c r="D11" s="12"/>
      <c r="E11" s="12"/>
      <c r="F11" s="12"/>
      <c r="G11" s="12"/>
      <c r="H11" s="12"/>
      <c r="I11" s="12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2"/>
      <c r="B12" s="6"/>
      <c r="C12" s="3" t="s">
        <v>13</v>
      </c>
      <c r="D12" s="19">
        <v>0.7</v>
      </c>
      <c r="E12" s="12"/>
      <c r="F12" s="12"/>
      <c r="G12" s="12"/>
      <c r="H12" s="12"/>
      <c r="I12" s="12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2"/>
      <c r="B13" s="6"/>
      <c r="C13" s="12"/>
      <c r="D13" s="12"/>
      <c r="E13" s="12"/>
      <c r="F13" s="12"/>
      <c r="G13" s="12"/>
      <c r="H13" s="12"/>
      <c r="I13" s="12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2"/>
      <c r="B14" s="6"/>
      <c r="C14" s="16" t="s">
        <v>5</v>
      </c>
      <c r="D14" s="16">
        <v>0.5</v>
      </c>
      <c r="E14" s="16">
        <v>1</v>
      </c>
      <c r="F14" s="16">
        <f>1.22*2.44</f>
        <v>2.9767999999999999</v>
      </c>
      <c r="G14" s="12"/>
      <c r="H14" s="12"/>
      <c r="I14" s="12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2"/>
      <c r="B15" s="6"/>
      <c r="C15" s="16" t="s">
        <v>6</v>
      </c>
      <c r="D15" s="16">
        <f>D10*D14</f>
        <v>0</v>
      </c>
      <c r="E15" s="16">
        <f>E10*E14</f>
        <v>150</v>
      </c>
      <c r="F15" s="16">
        <f>F10*F14</f>
        <v>0</v>
      </c>
      <c r="G15" s="16">
        <f>SUM(D15:F15)</f>
        <v>150</v>
      </c>
      <c r="H15" s="12"/>
      <c r="I15" s="12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2"/>
      <c r="B16" s="6"/>
      <c r="C16" s="16"/>
      <c r="D16" s="16"/>
      <c r="E16" s="16"/>
      <c r="F16" s="16"/>
      <c r="G16" s="16"/>
      <c r="H16" s="12"/>
      <c r="I16" s="12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2"/>
      <c r="B17" s="6"/>
      <c r="C17" s="12"/>
      <c r="D17" s="12"/>
      <c r="E17" s="12"/>
      <c r="F17" s="12"/>
      <c r="G17" s="12"/>
      <c r="H17" s="12"/>
      <c r="I17" s="12"/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9.5" x14ac:dyDescent="0.35">
      <c r="A18" s="2"/>
      <c r="B18" s="6"/>
      <c r="C18" s="14" t="s">
        <v>19</v>
      </c>
      <c r="D18" s="14"/>
      <c r="E18" s="14"/>
      <c r="F18" s="14"/>
      <c r="G18" s="14"/>
      <c r="H18" s="14"/>
      <c r="I18" s="14"/>
      <c r="J18" s="1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2"/>
      <c r="B19" s="6"/>
      <c r="C19" s="12"/>
      <c r="D19" s="12"/>
      <c r="E19" s="12"/>
      <c r="F19" s="12"/>
      <c r="G19" s="12"/>
      <c r="H19" s="12"/>
      <c r="I19" s="12"/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7.25" x14ac:dyDescent="0.3">
      <c r="A20" s="2"/>
      <c r="B20" s="6"/>
      <c r="C20" s="3" t="s">
        <v>16</v>
      </c>
      <c r="D20" s="20">
        <v>2.5</v>
      </c>
      <c r="E20" s="12" t="s">
        <v>7</v>
      </c>
      <c r="F20" s="12"/>
      <c r="G20" s="12"/>
      <c r="H20" s="12"/>
      <c r="I20" s="12"/>
      <c r="J20" s="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7.25" x14ac:dyDescent="0.3">
      <c r="A21" s="2"/>
      <c r="B21" s="6"/>
      <c r="C21" s="3" t="s">
        <v>17</v>
      </c>
      <c r="D21" s="20">
        <v>2.5</v>
      </c>
      <c r="E21" s="12"/>
      <c r="F21" s="12"/>
      <c r="G21" s="12"/>
      <c r="H21" s="12"/>
      <c r="I21" s="12"/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2"/>
      <c r="B22" s="6"/>
      <c r="C22" s="12"/>
      <c r="D22" s="12"/>
      <c r="E22" s="12"/>
      <c r="F22" s="12"/>
      <c r="G22" s="12"/>
      <c r="H22" s="12"/>
      <c r="I22" s="12"/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2"/>
      <c r="B23" s="6"/>
      <c r="C23" s="12"/>
      <c r="D23" s="12"/>
      <c r="E23" s="12"/>
      <c r="F23" s="12"/>
      <c r="G23" s="12"/>
      <c r="H23" s="12"/>
      <c r="I23" s="12"/>
      <c r="J23" s="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2"/>
      <c r="B24" s="6"/>
      <c r="C24" s="16"/>
      <c r="D24" s="16"/>
      <c r="E24" s="12"/>
      <c r="F24" s="12"/>
      <c r="G24" s="12"/>
      <c r="H24" s="12"/>
      <c r="I24" s="12"/>
      <c r="J24" s="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x14ac:dyDescent="0.35">
      <c r="A25" s="2"/>
      <c r="B25" s="6"/>
      <c r="C25" s="14" t="s">
        <v>20</v>
      </c>
      <c r="D25" s="14"/>
      <c r="E25" s="14"/>
      <c r="F25" s="14"/>
      <c r="G25" s="14"/>
      <c r="H25" s="14"/>
      <c r="I25" s="14"/>
      <c r="J25" s="1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2"/>
      <c r="B26" s="6"/>
      <c r="C26" s="12"/>
      <c r="D26" s="12"/>
      <c r="E26" s="12"/>
      <c r="F26" s="12"/>
      <c r="G26" s="12"/>
      <c r="H26" s="12"/>
      <c r="I26" s="12"/>
      <c r="J26" s="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2"/>
      <c r="B27" s="6"/>
      <c r="C27" s="3" t="s">
        <v>14</v>
      </c>
      <c r="D27" s="20">
        <v>20</v>
      </c>
      <c r="E27" s="12"/>
      <c r="F27" s="12"/>
      <c r="G27" s="12"/>
      <c r="H27" s="12"/>
      <c r="I27" s="12"/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2"/>
      <c r="B28" s="6"/>
      <c r="C28" s="3" t="s">
        <v>15</v>
      </c>
      <c r="D28" s="18" t="s">
        <v>29</v>
      </c>
      <c r="E28" s="12"/>
      <c r="F28" s="12"/>
      <c r="G28" s="12"/>
      <c r="H28" s="12"/>
      <c r="I28" s="12"/>
      <c r="J28" s="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2"/>
      <c r="B29" s="6"/>
      <c r="C29" s="12"/>
      <c r="D29" s="12"/>
      <c r="E29" s="12"/>
      <c r="F29" s="12"/>
      <c r="G29" s="12"/>
      <c r="H29" s="12"/>
      <c r="I29" s="12"/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2"/>
      <c r="B30" s="6"/>
      <c r="C30" s="16" t="s">
        <v>1</v>
      </c>
      <c r="D30" s="16" t="s">
        <v>2</v>
      </c>
      <c r="E30" s="16" t="s">
        <v>3</v>
      </c>
      <c r="F30" s="16" t="s">
        <v>8</v>
      </c>
      <c r="G30" s="12"/>
      <c r="H30" s="16" t="s">
        <v>9</v>
      </c>
      <c r="I30" s="16" t="s">
        <v>9</v>
      </c>
      <c r="J30" s="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2"/>
      <c r="B31" s="6"/>
      <c r="C31" s="16" t="s">
        <v>10</v>
      </c>
      <c r="D31" s="16">
        <v>5</v>
      </c>
      <c r="E31" s="16">
        <v>7</v>
      </c>
      <c r="F31" s="16">
        <v>15</v>
      </c>
      <c r="G31" s="12"/>
      <c r="H31" s="16">
        <f>SUMPRODUCT(D31:F31,D10:F10)</f>
        <v>1050</v>
      </c>
      <c r="I31" s="17">
        <f>H31/60</f>
        <v>17.5</v>
      </c>
      <c r="J31" s="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2"/>
      <c r="B32" s="6"/>
      <c r="C32" s="16" t="s">
        <v>11</v>
      </c>
      <c r="D32" s="16">
        <v>3</v>
      </c>
      <c r="E32" s="16">
        <v>3</v>
      </c>
      <c r="F32" s="16">
        <v>5</v>
      </c>
      <c r="G32" s="12"/>
      <c r="H32" s="16">
        <f>SUMPRODUCT(D32:F32,D10:F10)</f>
        <v>450</v>
      </c>
      <c r="I32" s="16">
        <f>H32/60</f>
        <v>7.5</v>
      </c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2"/>
      <c r="B33" s="6"/>
      <c r="C33" s="16"/>
      <c r="D33" s="16"/>
      <c r="E33" s="16"/>
      <c r="F33" s="16"/>
      <c r="G33" s="12"/>
      <c r="H33" s="12"/>
      <c r="I33" s="12"/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2"/>
      <c r="B34" s="6"/>
      <c r="C34" s="12"/>
      <c r="D34" s="12"/>
      <c r="E34" s="12"/>
      <c r="F34" s="12"/>
      <c r="G34" s="12"/>
      <c r="H34" s="12"/>
      <c r="I34" s="12"/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.5" x14ac:dyDescent="0.35">
      <c r="A35" s="2"/>
      <c r="B35" s="6"/>
      <c r="C35" s="14" t="s">
        <v>21</v>
      </c>
      <c r="D35" s="14"/>
      <c r="E35" s="14"/>
      <c r="F35" s="14"/>
      <c r="G35" s="14"/>
      <c r="H35" s="14"/>
      <c r="I35" s="14"/>
      <c r="J35" s="1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2"/>
      <c r="B36" s="6"/>
      <c r="C36" s="12"/>
      <c r="D36" s="12"/>
      <c r="E36" s="12"/>
      <c r="F36" s="12"/>
      <c r="G36" s="12"/>
      <c r="H36" s="12"/>
      <c r="I36" s="12"/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7.25" x14ac:dyDescent="0.3">
      <c r="A37" s="2"/>
      <c r="B37" s="6"/>
      <c r="C37" s="3" t="s">
        <v>22</v>
      </c>
      <c r="D37" s="3">
        <f>G15</f>
        <v>150</v>
      </c>
      <c r="E37" s="12"/>
      <c r="F37" s="12"/>
      <c r="G37" s="12"/>
      <c r="H37" s="12"/>
      <c r="I37" s="12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2"/>
      <c r="B38" s="6"/>
      <c r="C38" s="3" t="s">
        <v>24</v>
      </c>
      <c r="D38" s="4">
        <f>IF(D28="Manual",I31,I32)</f>
        <v>17.5</v>
      </c>
      <c r="E38" s="12"/>
      <c r="F38" s="12"/>
      <c r="G38" s="12"/>
      <c r="H38" s="12"/>
      <c r="I38" s="12"/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2"/>
      <c r="B39" s="6"/>
      <c r="C39" s="12"/>
      <c r="D39" s="12"/>
      <c r="E39" s="12"/>
      <c r="F39" s="12"/>
      <c r="G39" s="12"/>
      <c r="H39" s="12"/>
      <c r="I39" s="12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2"/>
      <c r="B40" s="6"/>
      <c r="C40" s="3" t="s">
        <v>25</v>
      </c>
      <c r="D40" s="4">
        <f>D37*(D20+D12*D21)</f>
        <v>637.5</v>
      </c>
      <c r="E40" s="12"/>
      <c r="F40" s="12"/>
      <c r="G40" s="12"/>
      <c r="H40" s="12"/>
      <c r="I40" s="12"/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2"/>
      <c r="B41" s="6"/>
      <c r="C41" s="3" t="s">
        <v>26</v>
      </c>
      <c r="D41" s="4">
        <f>D27*D38</f>
        <v>350</v>
      </c>
      <c r="E41" s="12"/>
      <c r="F41" s="12"/>
      <c r="G41" s="12"/>
      <c r="H41" s="12"/>
      <c r="I41" s="12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thickBot="1" x14ac:dyDescent="0.35">
      <c r="A42" s="2"/>
      <c r="B42" s="6"/>
      <c r="C42" s="12"/>
      <c r="D42" s="12"/>
      <c r="E42" s="12"/>
      <c r="F42" s="12"/>
      <c r="G42" s="12"/>
      <c r="H42" s="12"/>
      <c r="I42" s="12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0.25" thickBot="1" x14ac:dyDescent="0.4">
      <c r="A43" s="2"/>
      <c r="B43" s="6"/>
      <c r="C43" s="5" t="s">
        <v>28</v>
      </c>
      <c r="D43" s="11">
        <v>0</v>
      </c>
      <c r="E43" s="12"/>
      <c r="F43" s="12" t="s">
        <v>32</v>
      </c>
      <c r="G43" s="12"/>
      <c r="H43" s="12"/>
      <c r="I43" s="12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thickBot="1" x14ac:dyDescent="0.35">
      <c r="A44" s="2"/>
      <c r="B44" s="6"/>
      <c r="C44" s="12"/>
      <c r="D44" s="12"/>
      <c r="E44" s="12"/>
      <c r="F44" s="12"/>
      <c r="G44" s="12"/>
      <c r="H44" s="12"/>
      <c r="I44" s="12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0.25" thickBot="1" x14ac:dyDescent="0.4">
      <c r="A45" s="2"/>
      <c r="B45" s="6"/>
      <c r="C45" s="29" t="s">
        <v>27</v>
      </c>
      <c r="D45" s="30">
        <f>SUM(D40+D41+D43)</f>
        <v>987.5</v>
      </c>
      <c r="E45" s="12"/>
      <c r="F45" s="12"/>
      <c r="G45" s="12"/>
      <c r="H45" s="12"/>
      <c r="I45" s="12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thickBot="1" x14ac:dyDescent="0.35">
      <c r="A46" s="2"/>
      <c r="B46" s="6"/>
      <c r="C46" s="12"/>
      <c r="D46" s="12"/>
      <c r="E46" s="12"/>
      <c r="F46" s="12"/>
      <c r="G46" s="12"/>
      <c r="H46" s="12"/>
      <c r="I46" s="12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0.25" thickBot="1" x14ac:dyDescent="0.4">
      <c r="A47" s="2"/>
      <c r="B47" s="6"/>
      <c r="C47" s="29" t="s">
        <v>31</v>
      </c>
      <c r="D47" s="30">
        <f>IFERROR((D45)/D37,0)</f>
        <v>6.583333333333333</v>
      </c>
      <c r="E47" s="12"/>
      <c r="F47" s="12"/>
      <c r="G47" s="12"/>
      <c r="H47" s="12"/>
      <c r="I47" s="12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9.5" x14ac:dyDescent="0.35">
      <c r="A48" s="2"/>
      <c r="B48" s="6"/>
      <c r="C48" s="27"/>
      <c r="D48" s="28"/>
      <c r="E48" s="12"/>
      <c r="F48" s="12"/>
      <c r="G48" s="12"/>
      <c r="H48" s="12"/>
      <c r="I48" s="12"/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thickBot="1" x14ac:dyDescent="0.35">
      <c r="A49" s="2"/>
      <c r="B49" s="8" t="s">
        <v>30</v>
      </c>
      <c r="C49" s="9"/>
      <c r="D49" s="9"/>
      <c r="E49" s="9"/>
      <c r="F49" s="9"/>
      <c r="G49" s="9"/>
      <c r="H49" s="9"/>
      <c r="I49" s="9"/>
      <c r="J49" s="1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idden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idden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idden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idden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idden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idden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idden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idden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idden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idden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idden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idden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idden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idden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idden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idden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idden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idden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idden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idden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idden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idden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idden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idden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idden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idden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idden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idden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idden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idden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idden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idden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idden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idden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idden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idden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idden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idden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idden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idden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idden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idden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idden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idden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idden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idden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idden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idden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idden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idden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idden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idden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idden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idden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idden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idden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idden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idden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idden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idden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idden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idden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idden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idden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idden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idden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idden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idden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idden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idden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idden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idden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idden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idden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idden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idden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idden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idden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idden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idden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idden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idden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idden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idden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idden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idden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idden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idden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idden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idden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idden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idden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idden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idden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idden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idden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idden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idden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idden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idden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idden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idden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idden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idden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idden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idden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idden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idden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idden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idden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idden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idden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idden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idden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idden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idden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idden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idden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idden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idden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idden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idden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idden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idden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idden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idden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idden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idden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idden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idden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idden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idden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idden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idden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idden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idden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idden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idden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idden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idden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idden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idden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idden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idden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idden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idden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idden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idden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idden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idden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idden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idden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idden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idden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idden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idden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idden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idden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idden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idden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idden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idden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idden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idden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idden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idden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idden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idden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idden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idden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idden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idden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idden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idden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idden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idden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idden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idden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idden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idden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idden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idden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idden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idden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idden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idden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idden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idden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idden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idden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idden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idden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idden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idden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idden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idden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idden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idden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idden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idden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idden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idden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idden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idden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idden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idden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idden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idden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idden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idden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idden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idden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idden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idden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idden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idden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idden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idden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idden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idden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idden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idden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idden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idden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idden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idden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idden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idden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idden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idden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idden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idden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idden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idden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idden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idden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idden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idden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idden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idden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idden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idden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idden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idden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idden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idden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idden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idden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idden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idden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idden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idden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idden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idden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idden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idden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idden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idden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idden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idden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idden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idden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idden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idden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idden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idden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idden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idden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idden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idden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idden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idden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idden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idden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idden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idden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idden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idden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idden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idden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idden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idden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idden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idden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idden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idden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idden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idden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idden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idden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idden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idden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idden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idden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idden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idden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idden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idden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idden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idden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idden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idden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idden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idden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idden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idden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idden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idden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idden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idden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idden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idden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idden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idden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idden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idden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idden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idden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idden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idden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idden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idden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idden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idden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idden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idden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idden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idden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idden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idden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idden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idden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idden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idden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idden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idden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idden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idden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idden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idden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idden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idden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idden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idden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idden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idden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idden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idden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idden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idden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idden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idden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idden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idden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idden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idden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idden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idden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idden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idden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idden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idden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idden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idden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idden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idden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idden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idden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idden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idden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idden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idden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idden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idden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idden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idden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idden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idden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idden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idden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idden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idden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idden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idden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idden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idden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idden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idden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idden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idden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idden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idden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idden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idden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idden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idden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idden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idden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idden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idden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idden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idden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idden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idden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idden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idden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idden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idden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idden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idden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idden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idden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idden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idden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idden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idden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idden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idden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idden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idden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idden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idden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idden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idden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idden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idden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idden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idden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idden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idden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idden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idden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idden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idden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idden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idden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idden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idden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idden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idden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idden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idden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idden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idden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idden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idden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idden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idden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idden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idden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</sheetData>
  <mergeCells count="6">
    <mergeCell ref="B2:J2"/>
    <mergeCell ref="C25:J25"/>
    <mergeCell ref="C35:J35"/>
    <mergeCell ref="B5:J5"/>
    <mergeCell ref="C7:J7"/>
    <mergeCell ref="C18:J18"/>
  </mergeCells>
  <pageMargins left="0.7" right="0.7" top="0.75" bottom="0.75" header="0.3" footer="0.3"/>
  <pageSetup scale="2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E32C2FE64C324BAED2444CDC2C5380" ma:contentTypeVersion="19" ma:contentTypeDescription="Create a new document." ma:contentTypeScope="" ma:versionID="1d1a7b3f17087a31f26ed4b7853dd616">
  <xsd:schema xmlns:xsd="http://www.w3.org/2001/XMLSchema" xmlns:xs="http://www.w3.org/2001/XMLSchema" xmlns:p="http://schemas.microsoft.com/office/2006/metadata/properties" xmlns:ns2="927597ca-d703-4f24-8b0b-43639116840c" xmlns:ns3="4a81c1dd-e8fe-4ad1-b828-ae705c3cb19c" xmlns:ns4="64fe8c59-3550-437a-9cc1-69277fe2ea73" targetNamespace="http://schemas.microsoft.com/office/2006/metadata/properties" ma:root="true" ma:fieldsID="f7f7b3170ec0114fe5a32f7bea7d161f" ns2:_="" ns3:_="" ns4:_="">
    <xsd:import namespace="927597ca-d703-4f24-8b0b-43639116840c"/>
    <xsd:import namespace="4a81c1dd-e8fe-4ad1-b828-ae705c3cb19c"/>
    <xsd:import namespace="64fe8c59-3550-437a-9cc1-69277fe2e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whatisthis_x003f_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597ca-d703-4f24-8b0b-436391168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whatisthis_x003f_" ma:index="22" nillable="true" ma:displayName="what is this?" ma:format="Dropdown" ma:internalName="whatisthis_x003f_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1c1dd-e8fe-4ad1-b828-ae705c3cb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e8c59-3550-437a-9cc1-69277fe2ea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8799ad-45b1-43dc-9368-a96ba8306809}" ma:internalName="TaxCatchAll" ma:showField="CatchAllData" ma:web="4a81c1dd-e8fe-4ad1-b828-ae705c3cb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hatisthis_x003f_ xmlns="927597ca-d703-4f24-8b0b-43639116840c" xsi:nil="true"/>
    <lcf76f155ced4ddcb4097134ff3c332f xmlns="927597ca-d703-4f24-8b0b-43639116840c">
      <Terms xmlns="http://schemas.microsoft.com/office/infopath/2007/PartnerControls"/>
    </lcf76f155ced4ddcb4097134ff3c332f>
    <TaxCatchAll xmlns="64fe8c59-3550-437a-9cc1-69277fe2ea73" xsi:nil="true"/>
  </documentManagement>
</p:properties>
</file>

<file path=customXml/itemProps1.xml><?xml version="1.0" encoding="utf-8"?>
<ds:datastoreItem xmlns:ds="http://schemas.openxmlformats.org/officeDocument/2006/customXml" ds:itemID="{019F8D07-BF61-4540-90C9-72632141990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C6A645D-B08C-4BA8-B796-07D6DF836834}"/>
</file>

<file path=customXml/itemProps3.xml><?xml version="1.0" encoding="utf-8"?>
<ds:datastoreItem xmlns:ds="http://schemas.openxmlformats.org/officeDocument/2006/customXml" ds:itemID="{2AE48446-AAB4-425B-B60C-1926E7E5E576}"/>
</file>

<file path=customXml/itemProps4.xml><?xml version="1.0" encoding="utf-8"?>
<ds:datastoreItem xmlns:ds="http://schemas.openxmlformats.org/officeDocument/2006/customXml" ds:itemID="{22939DE5-BC5A-4A95-BBB1-47D85B80C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and Mount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Perez, Eugeni</dc:creator>
  <cp:keywords/>
  <dc:description/>
  <cp:lastModifiedBy>Spies, Johan</cp:lastModifiedBy>
  <cp:revision/>
  <dcterms:created xsi:type="dcterms:W3CDTF">2025-03-08T02:36:35Z</dcterms:created>
  <dcterms:modified xsi:type="dcterms:W3CDTF">2025-05-29T16:21:55Z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0x01010015E32C2FE64C324BAED2444CDC2C5380</vt:lpwstr>
  </property>
</Properties>
</file>